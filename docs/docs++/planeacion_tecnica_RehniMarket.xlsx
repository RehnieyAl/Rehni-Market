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ista de Chequeo Técnico" sheetId="1" state="visible" r:id="rId1"/>
    <sheet name="Resumen y Métrica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2C3E50"/>
      <sz val="16"/>
    </font>
    <font>
      <name val="Calibri"/>
      <charset val="1"/>
      <family val="2"/>
      <i val="1"/>
      <color rgb="FF7F8C8D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2C3E50"/>
      <sz val="11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34495E"/>
        <bgColor rgb="FF2C3E50"/>
      </patternFill>
    </fill>
    <fill>
      <patternFill patternType="solid">
        <fgColor rgb="FFEAECEE"/>
        <bgColor rgb="FFD9D9D9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/>
      <right/>
      <top style="thin">
        <color rgb="FFBDC3C7"/>
      </top>
      <bottom/>
      <diagonal/>
    </border>
    <border>
      <left/>
      <right style="thin">
        <color rgb="FFBDC3C7"/>
      </right>
      <top style="thin">
        <color rgb="FFBDC3C7"/>
      </top>
      <bottom/>
      <diagonal/>
    </border>
    <border>
      <left/>
      <right/>
      <top style="thin">
        <color rgb="FFBDC3C7"/>
      </top>
      <bottom style="thin">
        <color rgb="FFBDC3C7"/>
      </bottom>
      <diagonal/>
    </border>
    <border>
      <left/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general" vertical="top" wrapText="1"/>
    </xf>
    <xf numFmtId="0" fontId="6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general" vertical="bottom"/>
    </xf>
    <xf numFmtId="0" fontId="9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78787"/>
      <rgbColor rgb="FF9999FF"/>
      <rgbColor rgb="FF993366"/>
      <rgbColor rgb="FFEAECE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7F8C8D"/>
      <rgbColor rgb="FF003366"/>
      <rgbColor rgb="FF339966"/>
      <rgbColor rgb="FF003300"/>
      <rgbColor rgb="FF333300"/>
      <rgbColor rgb="FF993300"/>
      <rgbColor rgb="FF993366"/>
      <rgbColor rgb="FF34495E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lang="es-CO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Progreso de Planeación Técnica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'Resumen y Métricas'!$B$4</f>
              <strCache>
                <ptCount val="1"/>
                <pt idx="0">
                  <v>Cantidad de Ítems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'Resumen y Métricas'!$A$5:$A$8</f>
              <strCache>
                <ptCount val="4"/>
                <pt idx="0">
                  <v>Completado</v>
                </pt>
                <pt idx="1">
                  <v>En Proceso</v>
                </pt>
                <pt idx="2">
                  <v>Pendiente</v>
                </pt>
                <pt idx="3">
                  <v>No Aplica</v>
                </pt>
              </strCache>
            </strRef>
          </cat>
          <val>
            <numRef>
              <f>'Resumen y Métricas'!$B$5:$B$8</f>
              <numCache>
                <formatCode>General</formatCode>
                <ptCount val="4"/>
                <pt idx="0">
                  <v>2</v>
                </pt>
                <pt idx="1">
                  <v>8</v>
                </pt>
                <pt idx="2">
                  <v>5</v>
                </pt>
                <pt idx="3">
                  <v>0</v>
                </pt>
              </numCache>
            </numRef>
          </val>
        </ser>
        <gapWidth val="150"/>
        <overlap val="0"/>
        <axId val="84998598"/>
        <axId val="73961233"/>
      </barChart>
      <catAx>
        <axId val="84998598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lang="es-CO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Estado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73961233"/>
        <crosses val="autoZero"/>
        <auto val="1"/>
        <lblAlgn val="ctr"/>
        <lblOffset val="100"/>
        <noMultiLvlLbl val="0"/>
      </catAx>
      <valAx>
        <axId val="73961233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lang="es-CO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Cantidad de Ítems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84998598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4</col>
      <colOff>0</colOff>
      <row>3</row>
      <rowOff>0</rowOff>
    </from>
    <to>
      <col>12</col>
      <colOff>243360</colOff>
      <row>17</row>
      <rowOff>32400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6"/>
  <sheetViews>
    <sheetView showFormulas="0" showGridLines="1" showRowColHeaders="1" showZeros="1" rightToLeft="0" tabSelected="1" showOutlineSymbols="1" defaultGridColor="1" view="normal" topLeftCell="A1" colorId="64" zoomScale="130" zoomScaleNormal="130" zoomScalePageLayoutView="100" workbookViewId="0">
      <selection pane="topLeft" activeCell="E8" activeCellId="0" sqref="E8"/>
    </sheetView>
  </sheetViews>
  <sheetFormatPr baseColWidth="8" defaultColWidth="9.1484375" defaultRowHeight="15" zeroHeight="0" outlineLevelRow="0"/>
  <cols>
    <col width="24" customWidth="1" style="19" min="1" max="1"/>
    <col width="50" customWidth="1" style="19" min="2" max="2"/>
    <col width="16" customWidth="1" style="19" min="3" max="3"/>
    <col width="20" customWidth="1" style="19" min="4" max="4"/>
    <col width="38" customWidth="1" style="19" min="5" max="5"/>
    <col width="50" customWidth="1" style="19" min="6" max="6"/>
  </cols>
  <sheetData>
    <row r="1" ht="21" customHeight="1" s="20">
      <c r="A1" s="21" t="inlineStr">
        <is>
          <t>LISTA DE CHEQUEO: PLANEACIÓN TÉCNICA DE PROYECTO</t>
        </is>
      </c>
      <c r="E1" s="22" t="n"/>
      <c r="F1" s="23" t="inlineStr">
        <is>
          <t>Logo</t>
        </is>
      </c>
    </row>
    <row r="2" ht="15" customHeight="1" s="20">
      <c r="A2" s="24" t="inlineStr">
        <is>
          <t>Evaluación de preparación y viabilidad tecnológica para desarrollo de software</t>
        </is>
      </c>
      <c r="E2" s="22" t="n"/>
    </row>
    <row r="3" ht="15" customHeight="1" s="20">
      <c r="A3" s="24" t="inlineStr">
        <is>
          <t>Nombre Proyecto:</t>
        </is>
      </c>
      <c r="B3" s="19" t="inlineStr">
        <is>
          <t>RehniMarket – Marketplace multiempresa con billetera RehniCoin (monorepo: backend, web y móvil)</t>
        </is>
      </c>
      <c r="E3" s="22" t="n"/>
    </row>
    <row r="4" ht="15" customHeight="1" s="20">
      <c r="A4" s="24" t="inlineStr">
        <is>
          <t>Integrantes:</t>
        </is>
      </c>
      <c r="B4" s="19" t="inlineStr">
        <is>
          <t>Yeinher José Algarín Cardozo</t>
        </is>
      </c>
      <c r="E4" s="22" t="n"/>
    </row>
    <row r="5" ht="15" customHeight="1" s="20">
      <c r="E5" s="22" t="n"/>
    </row>
    <row r="6" ht="30" customHeight="1" s="20">
      <c r="A6" s="25" t="inlineStr">
        <is>
          <t>Categoría</t>
        </is>
      </c>
      <c r="B6" s="25" t="inlineStr">
        <is>
          <t>Ítem de Verificación / Criterio</t>
        </is>
      </c>
      <c r="C6" s="25" t="inlineStr">
        <is>
          <t>Estado</t>
        </is>
      </c>
      <c r="D6" s="25" t="inlineStr">
        <is>
          <t>Responsable(s)</t>
        </is>
      </c>
      <c r="E6" s="25" t="inlineStr">
        <is>
          <t>Evidencia 
(captura de pantalla o enlace)</t>
        </is>
      </c>
      <c r="F6" s="25" t="inlineStr">
        <is>
          <t>Observaciones</t>
        </is>
      </c>
    </row>
    <row r="7" ht="15" customHeight="1" s="20">
      <c r="A7" s="26" t="inlineStr">
        <is>
          <t>1. Arquitectura y Diseño</t>
        </is>
      </c>
      <c r="B7" s="27" t="n"/>
      <c r="C7" s="27" t="n"/>
      <c r="D7" s="27" t="n"/>
      <c r="E7" s="28" t="n"/>
      <c r="F7" s="26" t="n"/>
    </row>
    <row r="8" ht="60" customHeight="1" s="20">
      <c r="A8" s="29" t="inlineStr">
        <is>
          <t>Arquitectura y Diseño</t>
        </is>
      </c>
      <c r="B8" s="32" t="inlineStr">
        <is>
          <t>Se documentó el diagrama de arquitectura y la interacción entre componentes principales.</t>
        </is>
      </c>
      <c r="C8" s="31" t="inlineStr">
        <is>
          <t>Completado</t>
        </is>
      </c>
      <c r="D8" s="32" t="inlineStr">
        <is>
          <t>Yeinher Algarín</t>
        </is>
      </c>
      <c r="E8" s="33" t="inlineStr">
        <is>
          <t>MANUAL_TECNICO_REHNIMARKET.md §3–6; README.md (diagrama Mermaid de componentes)</t>
        </is>
      </c>
      <c r="F8" s="33" t="inlineStr">
        <is>
          <t>Arquitectura documentada: API FastAPI por capas (routers → services → repository → models), web React + Vite servida por Nginx, app Expo; PostgreSQL 17 vía PgBouncer y MinIO para imágenes, orquestado con Docker Compose.</t>
        </is>
      </c>
    </row>
    <row r="9" ht="60" customHeight="1" s="20">
      <c r="A9" s="29" t="inlineStr">
        <is>
          <t>Arquitectura y Diseño</t>
        </is>
      </c>
      <c r="B9" s="32" t="inlineStr">
        <is>
          <t>Se identificaron y priorizaron los atributos de calidad (mantenibilidad, rendimiento, seguridad).</t>
        </is>
      </c>
      <c r="C9" s="31" t="inlineStr">
        <is>
          <t>Completado</t>
        </is>
      </c>
      <c r="D9" s="32" t="inlineStr">
        <is>
          <t>Yeinher Algarín</t>
        </is>
      </c>
      <c r="E9" s="33" t="inlineStr">
        <is>
          <t>docs/docs++/_fuentes_entregables/08_Requisitos_No_Funcionales.md</t>
        </is>
      </c>
      <c r="F9" s="33" t="inlineStr">
        <is>
          <t>31 RNF documentados y priorizados por categoría: seguridad (JWT, roles, ownership, hash de contraseñas), rendimiento (paginación, pool de conexiones), mantenibilidad (capas, migraciones).</t>
        </is>
      </c>
    </row>
    <row r="10" ht="45" customHeight="1" s="20">
      <c r="A10" s="29" t="inlineStr">
        <is>
          <t>Arquitectura y Diseño</t>
        </is>
      </c>
      <c r="B10" s="32" t="inlineStr">
        <is>
          <t>Se establecieron las guías para aplicar patrones de diseño y principios de código limpio (SOLID, DRY, KISS).</t>
        </is>
      </c>
      <c r="C10" s="31" t="inlineStr">
        <is>
          <t>En Proceso</t>
        </is>
      </c>
      <c r="D10" s="32" t="inlineStr">
        <is>
          <t>Yeinher Algarín</t>
        </is>
      </c>
      <c r="E10" s="33" t="inlineStr">
        <is>
          <t>Backend por capas (app/routers, services, repository); frontend por features (cart, orders, wallet, admin, company, returns…)</t>
        </is>
      </c>
      <c r="F10" s="33" t="inlineStr">
        <is>
          <t>Separación de responsabilidades aplicada en backend y frontend (AuthProvider, guards por rol, servicios reutilizables). Falta una guía escrita de SOLID, DRY y KISS.</t>
        </is>
      </c>
    </row>
    <row r="11" ht="15" customHeight="1" s="20">
      <c r="A11" s="26" t="inlineStr">
        <is>
          <t>2. Stack Tecnológico y Datos</t>
        </is>
      </c>
      <c r="B11" s="27" t="n"/>
      <c r="C11" s="27" t="n"/>
      <c r="D11" s="27" t="n"/>
      <c r="E11" s="28" t="n"/>
      <c r="F11" s="26" t="n"/>
    </row>
    <row r="12" ht="60" customHeight="1" s="20">
      <c r="A12" s="29" t="inlineStr">
        <is>
          <t>Stack Tecnológico y Datos</t>
        </is>
      </c>
      <c r="B12" s="32" t="inlineStr">
        <is>
          <t>Se fijaron las versiones estables de lenguajes, frameworks y herramientas base.</t>
        </is>
      </c>
      <c r="C12" s="31" t="inlineStr">
        <is>
          <t>Completado</t>
        </is>
      </c>
      <c r="D12" s="32" t="inlineStr">
        <is>
          <t>Yeinher Algarín</t>
        </is>
      </c>
      <c r="E12" s="33" t="inlineStr">
        <is>
          <t>RehniMarket-backend/pyproject.toml + uv.lock; package.json + pnpm-lock.yaml (web y móvil)</t>
        </is>
      </c>
      <c r="F12" s="33" t="inlineStr">
        <is>
          <t>Versiones fijadas: Python 3.13, FastAPI 0.135.1, SQLAlchemy 2.0.48, Alembic 1.18.4, PostgreSQL 17 (uv); React 19, Vite 8, TypeScript, Tailwind v4 (pnpm); Expo 54 / React Native 0.81.</t>
        </is>
      </c>
    </row>
    <row r="13" ht="75" customHeight="1" s="20">
      <c r="A13" s="29" t="inlineStr">
        <is>
          <t>Stack Tecnológico y Datos</t>
        </is>
      </c>
      <c r="B13" s="32" t="inlineStr">
        <is>
          <t>Se diseñó el modelo de datos preliminar (esquemas, relaciones o colecciones).</t>
        </is>
      </c>
      <c r="C13" s="31" t="inlineStr">
        <is>
          <t>Completado</t>
        </is>
      </c>
      <c r="D13" s="32" t="inlineStr">
        <is>
          <t>Yeinher Algarín</t>
        </is>
      </c>
      <c r="E13" s="33" t="inlineStr">
        <is>
          <t>app/models (28 módulos ORM) y alembic/versions; MANUAL_TECNICO §10–11 (modelo entidad–relación)</t>
        </is>
      </c>
      <c r="F13" s="33" t="inlineStr">
        <is>
          <t>Modelo relacional en PostgreSQL (~36 tablas: usuarios multi-rol, empresas, productos/variantes, pedidos, devoluciones, billetera RehniCoin, liquidaciones) con migraciones Alembic en cadena lineal. Falta un diagrama ER gráfico.</t>
        </is>
      </c>
    </row>
    <row r="14" ht="60" customHeight="1" s="20">
      <c r="A14" s="29" t="inlineStr">
        <is>
          <t>Stack Tecnológico y Datos</t>
        </is>
      </c>
      <c r="B14" s="32" t="inlineStr">
        <is>
          <t>Se analizaron las dependencias externas, servicios de terceros y restricciones de licencias.</t>
        </is>
      </c>
      <c r="C14" s="31" t="inlineStr">
        <is>
          <t>En Proceso</t>
        </is>
      </c>
      <c r="D14" s="32" t="inlineStr">
        <is>
          <t>Yeinher Algarín</t>
        </is>
      </c>
      <c r="E14" s="33" t="inlineStr">
        <is>
          <t>MANUAL_TECNICO §20 (MinIO); app/services/email; app/docs/AUDITORIA.md (pip-audit)</t>
        </is>
      </c>
      <c r="F14" s="33" t="inlineStr">
        <is>
          <t>Servicios externos: MinIO (imágenes) y SMTP Gmail (correos). Pagos resueltos internamente con billetera RehniCoin, sin pasarela externa. CVE auditados con pip-audit; falta revisión formal de licencias de dependencias.</t>
        </is>
      </c>
    </row>
    <row r="15" ht="15" customHeight="1" s="20">
      <c r="A15" s="26" t="inlineStr">
        <is>
          <t>3. Calidad y Pruebas</t>
        </is>
      </c>
      <c r="B15" s="27" t="n"/>
      <c r="C15" s="27" t="n"/>
      <c r="D15" s="27" t="n"/>
      <c r="E15" s="28" t="n"/>
      <c r="F15" s="26" t="n"/>
    </row>
    <row r="16" ht="60" customHeight="1" s="20">
      <c r="A16" s="29" t="inlineStr">
        <is>
          <t>Calidad y Pruebas</t>
        </is>
      </c>
      <c r="B16" s="32" t="inlineStr">
        <is>
          <t>Se definió el marco de pruebas unitarias y de integración (ej. unittest, PyTest, JUnit).</t>
        </is>
      </c>
      <c r="C16" s="31" t="inlineStr">
        <is>
          <t>Completado</t>
        </is>
      </c>
      <c r="D16" s="32" t="inlineStr">
        <is>
          <t>Yeinher Algarín</t>
        </is>
      </c>
      <c r="E16" s="33" t="inlineStr">
        <is>
          <t>RehniMarket-backend/tests (12 archivos, pytest); RehniMarket-frontend/src/**/*.test.tsx (11 archivos, Vitest)</t>
        </is>
      </c>
      <c r="F16" s="33" t="inlineStr">
        <is>
          <t>Backend: PyTest con BD PostgreSQL real de pruebas (rehnimarket_test). Frontend: Vitest + Testing Library + jsdom (pnpm test). Móvil: jest-expo configurado, sin pruebas aún.</t>
        </is>
      </c>
    </row>
    <row r="17" ht="45" customHeight="1" s="20">
      <c r="A17" s="29" t="inlineStr">
        <is>
          <t>Calidad y Pruebas</t>
        </is>
      </c>
      <c r="B17" s="32" t="inlineStr">
        <is>
          <t>Se configuraron las herramientas de análisis estático de código y linters.</t>
        </is>
      </c>
      <c r="C17" s="31" t="inlineStr">
        <is>
          <t>En Proceso</t>
        </is>
      </c>
      <c r="D17" s="32" t="inlineStr">
        <is>
          <t>Yeinher Algarín</t>
        </is>
      </c>
      <c r="E17" s="33" t="inlineStr">
        <is>
          <t>eslint.config.js (web y móvil); pip-audit en el grupo dev del backend</t>
        </is>
      </c>
      <c r="F17" s="33" t="inlineStr">
        <is>
          <t>ESLint + typescript-eslint en el frontend y eslint-config-expo en el móvil; pip-audit para vulnerabilidades. Falta configurar Ruff (o Flake8) en el backend.</t>
        </is>
      </c>
    </row>
    <row r="18" ht="60" customHeight="1" s="20">
      <c r="A18" s="29" t="inlineStr">
        <is>
          <t>Calidad y Pruebas</t>
        </is>
      </c>
      <c r="B18" s="32" t="inlineStr">
        <is>
          <t>Se acordó la estrategia de pruebas (cobertura mínima esperada, automatización).</t>
        </is>
      </c>
      <c r="C18" s="31" t="inlineStr">
        <is>
          <t>En Proceso</t>
        </is>
      </c>
      <c r="D18" s="32" t="inlineStr">
        <is>
          <t>Yeinher Algarín</t>
        </is>
      </c>
      <c r="E18" s="33" t="inlineStr">
        <is>
          <t>docs/docs++/_fuentes_entregables/09_Informe_Evaluacion_Calidad.md; 10_Plan_Mejora_Continua.md (AP-03); tests/load (k6)</t>
        </is>
      </c>
      <c r="F18" s="33" t="inlineStr">
        <is>
          <t>Cobertura del backend medida con pytest-cov (62 % en la última medición documentada). Falta fijar el umbral mínimo en pyproject.toml. Pruebas de humo (acceptance_smoke.sh) y de carga con k6 definidas.</t>
        </is>
      </c>
    </row>
    <row r="19" ht="15" customHeight="1" s="20">
      <c r="A19" s="26" t="inlineStr">
        <is>
          <t>4. Entornos y DevOps</t>
        </is>
      </c>
      <c r="B19" s="27" t="n"/>
      <c r="C19" s="27" t="n"/>
      <c r="D19" s="27" t="n"/>
      <c r="E19" s="28" t="n"/>
      <c r="F19" s="26" t="n"/>
    </row>
    <row r="20" ht="45" customHeight="1" s="20">
      <c r="A20" s="29" t="inlineStr">
        <is>
          <t>Entornos y DevOps</t>
        </is>
      </c>
      <c r="B20" s="32" t="inlineStr">
        <is>
          <t>Se estableció la estrategia de control de versiones y ramificación en Git (Git Flow, Trunk-Based).</t>
        </is>
      </c>
      <c r="C20" s="31" t="inlineStr">
        <is>
          <t>En Proceso</t>
        </is>
      </c>
      <c r="D20" s="32" t="inlineStr">
        <is>
          <t>Yeinher Algarín</t>
        </is>
      </c>
      <c r="E20" s="33" t="inlineStr">
        <is>
          <t>Repositorio GitHub RehnieyAl/Rehni-Market: ramas main y feature/owner</t>
        </is>
      </c>
      <c r="F20" s="33" t="inlineStr">
        <is>
          <t>Se trabaja con main como rama estable y ramas feature/*. Falta formalizar la estrategia (Git Flow o Trunk-Based) y exigir Pull Requests con revisión.</t>
        </is>
      </c>
    </row>
    <row r="21" ht="60" customHeight="1" s="20">
      <c r="A21" s="29" t="inlineStr">
        <is>
          <t>Entornos y DevOps</t>
        </is>
      </c>
      <c r="B21" s="32" t="inlineStr">
        <is>
          <t>Se definieron los requerimientos para los entornos de desarrollo, pruebas y producción.</t>
        </is>
      </c>
      <c r="C21" s="31" t="inlineStr">
        <is>
          <t>En Proceso</t>
        </is>
      </c>
      <c r="D21" s="32" t="inlineStr">
        <is>
          <t>Yeinher Algarín</t>
        </is>
      </c>
      <c r="E21" s="33" t="inlineStr">
        <is>
          <t>docker-compose.dev.yml (desarrollo); docker-compose.yml (producción); DOCUMENTACION_DESPLIEGUE_REHNIMARKET.md</t>
        </is>
      </c>
      <c r="F21" s="33" t="inlineStr">
        <is>
          <t>Entornos definidos: desarrollo (.env.dev, puertos expuestos), pruebas (BD rehnimarket_test) y producción (healthchecks, límites de recursos, PgBouncer). Falta el despliegue real con reverse proxy y TLS.</t>
        </is>
      </c>
    </row>
    <row r="22" ht="45" customHeight="1" s="20">
      <c r="A22" s="29" t="inlineStr">
        <is>
          <t>Entornos y DevOps</t>
        </is>
      </c>
      <c r="B22" s="32" t="inlineStr">
        <is>
          <t>Se planificó el pipeline básico de Integración Continua (CI).</t>
        </is>
      </c>
      <c r="C22" s="31" t="inlineStr">
        <is>
          <t>Pendiente</t>
        </is>
      </c>
      <c r="D22" s="32" t="inlineStr">
        <is>
          <t>Yeinher Algarín</t>
        </is>
      </c>
      <c r="E22" s="33" t="inlineStr">
        <is>
          <t>10_Plan_Mejora_Continua.md (acción de integración continua)</t>
        </is>
      </c>
      <c r="F22" s="33" t="inlineStr">
        <is>
          <t>No existe .github/workflows. Propuesta: GitHub Actions con ESLint, pytest, vitest y build en cada Pull Request.</t>
        </is>
      </c>
    </row>
    <row r="23" ht="15" customHeight="1" s="20">
      <c r="A23" s="26" t="inlineStr">
        <is>
          <t>5. Seguridad y Gestión de Riesgos</t>
        </is>
      </c>
      <c r="B23" s="27" t="n"/>
      <c r="C23" s="27" t="n"/>
      <c r="D23" s="27" t="n"/>
      <c r="E23" s="28" t="n"/>
      <c r="F23" s="26" t="n"/>
    </row>
    <row r="24" ht="75" customHeight="1" s="20">
      <c r="A24" s="29" t="inlineStr">
        <is>
          <t>Seguridad y Gestión de Riesgos</t>
        </is>
      </c>
      <c r="B24" s="32" t="inlineStr">
        <is>
          <t>Se definieron los mecanismos de autenticación, autorización y manejo de secretos.</t>
        </is>
      </c>
      <c r="C24" s="31" t="inlineStr">
        <is>
          <t>Completado</t>
        </is>
      </c>
      <c r="D24" s="32" t="inlineStr">
        <is>
          <t>Yeinher Algarín</t>
        </is>
      </c>
      <c r="E24" s="33" t="inlineStr">
        <is>
          <t>app/middleware (AuthMiddleware, RolePermissions); 04_Usuarios_Roles_y_Permisos.md; .env.example</t>
        </is>
      </c>
      <c r="F24" s="33" t="inlineStr">
        <is>
          <t>JWT access + refresh tokens, contraseñas con bcrypt/argon2, verificación de correo, roles user/company/admin/owner con lista blanca y rol leído de la BD. Secretos en .env (excluidos por .gitignore) con plantillas .env.example.</t>
        </is>
      </c>
    </row>
    <row r="25" ht="75" customHeight="1" s="20">
      <c r="A25" s="29" t="inlineStr">
        <is>
          <t>Seguridad y Gestión de Riesgos</t>
        </is>
      </c>
      <c r="B25" s="32" t="inlineStr">
        <is>
          <t>Se identificaron los principales cuellos de botella tecnológicos y riesgos de integración.</t>
        </is>
      </c>
      <c r="C25" s="31" t="inlineStr">
        <is>
          <t>Completado</t>
        </is>
      </c>
      <c r="D25" s="32" t="inlineStr">
        <is>
          <t>Yeinher Algarín</t>
        </is>
      </c>
      <c r="E25" s="33" t="inlineStr">
        <is>
          <t>09_Informe_Evaluacion_Calidad.md; AUDITORIA_FINAL_REHNIMARKET.md</t>
        </is>
      </c>
      <c r="F25" s="33" t="inlineStr">
        <is>
          <t>Resueltos: búsqueda (search en /public/products), paginación real (page/limit), página /categories y pagos (RehniCoin). Riesgos vigentes: sin CI, sin TLS en producción, rate limiting desactivado por defecto y baja cobertura en web/móvil.</t>
        </is>
      </c>
    </row>
    <row r="26" ht="60" customHeight="1" s="20">
      <c r="A26" s="29" t="inlineStr">
        <is>
          <t>Seguridad y Gestión de Riesgos</t>
        </is>
      </c>
      <c r="B26" s="32" t="inlineStr">
        <is>
          <t>Se redactó el plan de contingencia para fallas críticas en los componentes centrales.</t>
        </is>
      </c>
      <c r="C26" s="31" t="inlineStr">
        <is>
          <t>Completado</t>
        </is>
      </c>
      <c r="D26" s="32" t="inlineStr">
        <is>
          <t>Yeinher Algarín</t>
        </is>
      </c>
      <c r="E26" s="33" t="inlineStr">
        <is>
          <t>scripts/backup_rehnimarket.sh y restore_rehnimarket.sh; 02_Plan_Migracion_y_Backups.md; scripts/migracion/rollback.sql</t>
        </is>
      </c>
      <c r="F26" s="33" t="inlineStr">
        <is>
          <t>Plan de contingencia para caídas de BD/MinIO: respaldos coordinados de PostgreSQL (pg_dump) y MinIO con verificación SHA-256, retención diaria y procedimiento de restauración documentado.</t>
        </is>
      </c>
    </row>
  </sheetData>
  <mergeCells count="6">
    <mergeCell ref="A15:E15"/>
    <mergeCell ref="A7:E7"/>
    <mergeCell ref="A19:E19"/>
    <mergeCell ref="A11:E11"/>
    <mergeCell ref="A23:E23"/>
    <mergeCell ref="F1:F5"/>
  </mergeCells>
  <dataValidations count="1">
    <dataValidation sqref="C8:C10 C12:C14 C16:C18 C20:C22 C24:C26" showDropDown="0" showInputMessage="0" showErrorMessage="0" allowBlank="1" type="list" errorStyle="stop" operator="between">
      <formula1>"Pendiente,En Proceso,Completado,No Aplica"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484375" defaultRowHeight="15" zeroHeight="0" outlineLevelRow="0"/>
  <cols>
    <col width="22" customWidth="1" style="19" min="1" max="1"/>
    <col width="20" customWidth="1" style="19" min="2" max="2"/>
    <col width="18" customWidth="1" style="19" min="3" max="3"/>
  </cols>
  <sheetData>
    <row r="1" ht="21" customHeight="1" s="20">
      <c r="A1" s="21" t="inlineStr">
        <is>
          <t>RESUMEN DE AVANCE DE PLANEACIÓN TÉCNICA</t>
        </is>
      </c>
    </row>
    <row r="2" ht="15" customHeight="1" s="20">
      <c r="A2" s="24" t="inlineStr">
        <is>
          <t>Métricas de cumplimiento de los ítems de verificación</t>
        </is>
      </c>
    </row>
    <row r="4" ht="15" customHeight="1" s="20">
      <c r="A4" s="34" t="inlineStr">
        <is>
          <t>Estado</t>
        </is>
      </c>
      <c r="B4" s="34" t="inlineStr">
        <is>
          <t>Cantidad de Ítems</t>
        </is>
      </c>
      <c r="C4" s="34" t="inlineStr">
        <is>
          <t>Porcentaje</t>
        </is>
      </c>
    </row>
    <row r="5" ht="15" customHeight="1" s="20">
      <c r="A5" s="35" t="inlineStr">
        <is>
          <t>Completado</t>
        </is>
      </c>
      <c r="B5" s="36">
        <f>COUNTIF('Lista de Chequeo Técnico'!$C$7:$C$26, "Completado")</f>
        <v/>
      </c>
      <c r="C5" s="37">
        <f>B5/COUNTA('Lista de Chequeo Técnico'!$B$7:$B$26)</f>
        <v/>
      </c>
    </row>
    <row r="6" ht="15" customHeight="1" s="20">
      <c r="A6" s="35" t="inlineStr">
        <is>
          <t>En Proceso</t>
        </is>
      </c>
      <c r="B6" s="36">
        <f>COUNTIF('Lista de Chequeo Técnico'!$C$7:$C$26, "En Proceso")</f>
        <v/>
      </c>
      <c r="C6" s="37">
        <f>B6/COUNTA('Lista de Chequeo Técnico'!$B$7:$B$26)</f>
        <v/>
      </c>
    </row>
    <row r="7" ht="15" customHeight="1" s="20">
      <c r="A7" s="35" t="inlineStr">
        <is>
          <t>Pendiente</t>
        </is>
      </c>
      <c r="B7" s="36">
        <f>COUNTIF('Lista de Chequeo Técnico'!$C$7:$C$26, "Pendiente")</f>
        <v/>
      </c>
      <c r="C7" s="37">
        <f>B7/COUNTA('Lista de Chequeo Técnico'!$B$7:$B$26)</f>
        <v/>
      </c>
    </row>
    <row r="8" ht="15" customHeight="1" s="20">
      <c r="A8" s="35" t="inlineStr">
        <is>
          <t>No Aplica</t>
        </is>
      </c>
      <c r="B8" s="36">
        <f>COUNTIF('Lista de Chequeo Técnico'!$C$7:$C$26, "No Aplica")</f>
        <v/>
      </c>
      <c r="C8" s="37">
        <f>B8/COUNTA('Lista de Chequeo Técnico'!$B$7:$B$26)</f>
        <v/>
      </c>
    </row>
    <row r="9" ht="15" customHeight="1" s="20">
      <c r="A9" s="38" t="inlineStr">
        <is>
          <t>Total Ítems</t>
        </is>
      </c>
      <c r="B9" s="39">
        <f>SUM(B5:B8)</f>
        <v/>
      </c>
      <c r="C9" s="40">
        <f>SUM(C5:C8)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2026-10-09T21:08:29Z</dcterms:created>
  <dcterms:modified xsi:type="dcterms:W3CDTF">2026-10-16T21:10:14Z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ActionId" fmtid="{D5CDD505-2E9C-101B-9397-08002B2CF9AE}" pid="2">
    <vt:lpwstr>a58ac415-7b14-4171-9b12-d9022548d49a</vt:lpwstr>
  </property>
  <property name="MSIP_Label_fc111285-cafa-4fc9-8a9a-bd902089b24f_ContentBits" fmtid="{D5CDD505-2E9C-101B-9397-08002B2CF9AE}" pid="3">
    <vt:lpwstr>0</vt:lpwstr>
  </property>
  <property name="MSIP_Label_fc111285-cafa-4fc9-8a9a-bd902089b24f_Enabled" fmtid="{D5CDD505-2E9C-101B-9397-08002B2CF9AE}" pid="4">
    <vt:lpwstr>true</vt:lpwstr>
  </property>
  <property name="MSIP_Label_fc111285-cafa-4fc9-8a9a-bd902089b24f_Method" fmtid="{D5CDD505-2E9C-101B-9397-08002B2CF9AE}" pid="5">
    <vt:lpwstr>Privileged</vt:lpwstr>
  </property>
  <property name="MSIP_Label_fc111285-cafa-4fc9-8a9a-bd902089b24f_Name" fmtid="{D5CDD505-2E9C-101B-9397-08002B2CF9AE}" pid="6">
    <vt:lpwstr>Public</vt:lpwstr>
  </property>
  <property name="MSIP_Label_fc111285-cafa-4fc9-8a9a-bd902089b24f_SetDate" fmtid="{D5CDD505-2E9C-101B-9397-08002B2CF9AE}" pid="7">
    <vt:lpwstr>2026-10-10T13:09:55Z</vt:lpwstr>
  </property>
  <property name="MSIP_Label_fc111285-cafa-4fc9-8a9a-bd902089b24f_SiteId" fmtid="{D5CDD505-2E9C-101B-9397-08002B2CF9AE}" pid="8">
    <vt:lpwstr>cbc2c381-2f2e-4d93-91d1-506c9316ace7</vt:lpwstr>
  </property>
  <property name="MSIP_Label_fc111285-cafa-4fc9-8a9a-bd902089b24f_Tag" fmtid="{D5CDD505-2E9C-101B-9397-08002B2CF9AE}" pid="9">
    <vt:lpwstr>10, 0, 1, 1</vt:lpwstr>
  </property>
</Properties>
</file>